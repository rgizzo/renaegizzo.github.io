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e\Documents\naegizzo-website\"/>
    </mc:Choice>
  </mc:AlternateContent>
  <xr:revisionPtr revIDLastSave="0" documentId="8_{DBE16AD2-923C-40F0-871C-9E3FFCC52EB7}" xr6:coauthVersionLast="47" xr6:coauthVersionMax="47" xr10:uidLastSave="{00000000-0000-0000-0000-000000000000}"/>
  <bookViews>
    <workbookView xWindow="-14025" yWindow="1305" windowWidth="13530" windowHeight="11295" xr2:uid="{1288AE07-24D6-42DD-B227-A73399D51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1" l="1"/>
  <c r="C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C3" i="1"/>
  <c r="A11" i="1"/>
  <c r="C10" i="1"/>
  <c r="B10" i="1"/>
  <c r="A10" i="1"/>
  <c r="C9" i="1"/>
  <c r="B9" i="1"/>
  <c r="A9" i="1"/>
  <c r="B8" i="1"/>
  <c r="C8" i="1"/>
  <c r="A8" i="1"/>
  <c r="C7" i="1"/>
  <c r="B7" i="1"/>
  <c r="A7" i="1"/>
  <c r="C6" i="1"/>
  <c r="B6" i="1"/>
  <c r="A6" i="1"/>
  <c r="C5" i="1"/>
  <c r="B5" i="1"/>
  <c r="A5" i="1"/>
  <c r="B3" i="1"/>
  <c r="C4" i="1"/>
  <c r="B4" i="1"/>
  <c r="A4" i="1"/>
  <c r="A3" i="1"/>
  <c r="C2" i="1"/>
  <c r="B2" i="1"/>
  <c r="A2" i="1"/>
  <c r="B22" i="1"/>
  <c r="B26" i="1"/>
  <c r="C30" i="1"/>
  <c r="B31" i="1"/>
  <c r="B27" i="1"/>
  <c r="C37" i="1"/>
  <c r="B25" i="1"/>
  <c r="C34" i="1"/>
  <c r="B36" i="1"/>
  <c r="A25" i="1"/>
  <c r="C27" i="1"/>
  <c r="C38" i="1"/>
  <c r="C29" i="1"/>
  <c r="A32" i="1"/>
  <c r="B24" i="1"/>
  <c r="C32" i="1"/>
  <c r="B32" i="1"/>
  <c r="C22" i="1"/>
  <c r="B23" i="1"/>
  <c r="A29" i="1"/>
  <c r="C26" i="1"/>
  <c r="A28" i="1"/>
  <c r="C24" i="1"/>
  <c r="A22" i="1"/>
  <c r="B33" i="1"/>
  <c r="B34" i="1"/>
  <c r="A27" i="1"/>
  <c r="A35" i="1"/>
  <c r="B28" i="1"/>
  <c r="C31" i="1"/>
  <c r="C35" i="1"/>
  <c r="C23" i="1"/>
  <c r="A24" i="1"/>
  <c r="B35" i="1"/>
  <c r="A36" i="1"/>
  <c r="A26" i="1"/>
  <c r="A31" i="1"/>
  <c r="A30" i="1"/>
  <c r="B29" i="1"/>
  <c r="C28" i="1"/>
  <c r="C25" i="1"/>
  <c r="C33" i="1"/>
  <c r="C36" i="1"/>
  <c r="A33" i="1"/>
  <c r="A34" i="1"/>
  <c r="A23" i="1"/>
  <c r="B30" i="1"/>
</calcChain>
</file>

<file path=xl/sharedStrings.xml><?xml version="1.0" encoding="utf-8"?>
<sst xmlns="http://schemas.openxmlformats.org/spreadsheetml/2006/main" count="24" uniqueCount="24">
  <si>
    <t>earth</t>
  </si>
  <si>
    <t>earth-rectangle</t>
  </si>
  <si>
    <t>Left</t>
  </si>
  <si>
    <t>Top</t>
  </si>
  <si>
    <t>Width</t>
  </si>
  <si>
    <t>Image</t>
  </si>
  <si>
    <t>line-behind-earth</t>
  </si>
  <si>
    <t>name</t>
  </si>
  <si>
    <t>group-of-lines</t>
  </si>
  <si>
    <t>under-name-line</t>
  </si>
  <si>
    <t>link-bar</t>
  </si>
  <si>
    <t>clouds</t>
  </si>
  <si>
    <t>grid</t>
  </si>
  <si>
    <t>mountains_1-left</t>
  </si>
  <si>
    <t>mountains_2-right</t>
  </si>
  <si>
    <t>satellite-line</t>
  </si>
  <si>
    <t>landsat_1</t>
  </si>
  <si>
    <t>rectangle-behind-me</t>
  </si>
  <si>
    <t>topo</t>
  </si>
  <si>
    <t>me</t>
  </si>
  <si>
    <t>right-plane-line</t>
  </si>
  <si>
    <t>left-plane-line</t>
  </si>
  <si>
    <t>plane</t>
  </si>
  <si>
    <t>raster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</si>
</sst>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25D2-FBFF-4366-9271-AB057A823D97}">
  <dimension ref="A1:D38"/>
  <sheetViews>
    <sheetView tabSelected="1" workbookViewId="0">
      <selection activeCell="C20" sqref="C20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tr">
        <f>ROUND((104/1280)*100,2)&amp;"vw"</f>
        <v>8.13vw</v>
      </c>
      <c r="B2" t="str">
        <f>ROUND((480/1080)*100, 2) &amp; "vh"</f>
        <v>44.44vh</v>
      </c>
      <c r="C2" t="str">
        <f xml:space="preserve"> ROUND((238/1280)*100,2)&amp;"vw"</f>
        <v>18.59vw</v>
      </c>
      <c r="D2" t="s">
        <v>0</v>
      </c>
    </row>
    <row r="3" spans="1:4" x14ac:dyDescent="0.25">
      <c r="A3" t="str">
        <f>ROUND((7/1280)*100,2)&amp;"vw"</f>
        <v>0.55vw</v>
      </c>
      <c r="B3" t="str">
        <f>ROUND((333/1080)*100, 2)&amp;"vh"</f>
        <v>30.83vh</v>
      </c>
      <c r="C3" t="str">
        <f xml:space="preserve"> ROUND((144/1280)*100,2)&amp;"vw"</f>
        <v>11.25vw</v>
      </c>
      <c r="D3" t="s">
        <v>1</v>
      </c>
    </row>
    <row r="4" spans="1:4" x14ac:dyDescent="0.25">
      <c r="A4" t="str">
        <f>ROUND((95/1280)*100,2)&amp;"vw"</f>
        <v>7.42vw</v>
      </c>
      <c r="B4" t="str">
        <f>ROUND((364/1080)*100, 2) &amp; "vh"</f>
        <v>33.7vh</v>
      </c>
      <c r="C4" t="str">
        <f xml:space="preserve"> ROUND((238/1280)*100,2)&amp;"vw"</f>
        <v>18.59vw</v>
      </c>
      <c r="D4" t="s">
        <v>6</v>
      </c>
    </row>
    <row r="5" spans="1:4" x14ac:dyDescent="0.25">
      <c r="A5" t="str">
        <f>ROUND((287.02/1280)*100,2)&amp;"vw"</f>
        <v>22.42vw</v>
      </c>
      <c r="B5" t="str">
        <f>ROUND((69.26/1080)*100, 2) &amp; "vh"</f>
        <v>6.41vh</v>
      </c>
      <c r="C5" t="str">
        <f xml:space="preserve"> ROUND((675.86/1280)*100,2)&amp;"vw"</f>
        <v>52.8vw</v>
      </c>
      <c r="D5" t="s">
        <v>7</v>
      </c>
    </row>
    <row r="6" spans="1:4" x14ac:dyDescent="0.25">
      <c r="A6" t="str">
        <f>ROUND((183/1280)*100,2)&amp;"vw"</f>
        <v>14.3vw</v>
      </c>
      <c r="B6" t="str">
        <f>ROUND((344/1080)*100, 2) &amp; "vh"</f>
        <v>31.85vh</v>
      </c>
      <c r="C6" t="str">
        <f xml:space="preserve"> ROUND((480/1280)*100,2)&amp;"vw"</f>
        <v>37.5vw</v>
      </c>
      <c r="D6" t="s">
        <v>8</v>
      </c>
    </row>
    <row r="7" spans="1:4" x14ac:dyDescent="0.25">
      <c r="A7" t="str">
        <f>ROUND((539/1280)*100,2)&amp;"vw"</f>
        <v>42.11vw</v>
      </c>
      <c r="B7" t="str">
        <f>ROUND((140/1080)*100, 2) &amp; "vh"</f>
        <v>12.96vh</v>
      </c>
      <c r="C7" t="str">
        <f xml:space="preserve"> ROUND((741/1280)*100,2)&amp;"vw"</f>
        <v>57.89vw</v>
      </c>
      <c r="D7" t="s">
        <v>9</v>
      </c>
    </row>
    <row r="8" spans="1:4" x14ac:dyDescent="0.25">
      <c r="A8" t="str">
        <f>ROUND((38/1280)*100,2)&amp;"vw"</f>
        <v>2.97vw</v>
      </c>
      <c r="B8" t="str">
        <f>ROUND((1026/1080)*100, 2) &amp; "vh"</f>
        <v>95vh</v>
      </c>
      <c r="C8" t="str">
        <f xml:space="preserve"> ROUND((1210/1280)*100,2)&amp;"vw"</f>
        <v>94.53vw</v>
      </c>
      <c r="D8" t="s">
        <v>10</v>
      </c>
    </row>
    <row r="9" spans="1:4" x14ac:dyDescent="0.25">
      <c r="A9" t="str">
        <f>ROUND((612/1280)*100,2)&amp;"vw"</f>
        <v>47.81vw</v>
      </c>
      <c r="B9" t="str">
        <f>ROUND((766/1080)*100, 2) &amp; "vh"</f>
        <v>70.93vh</v>
      </c>
      <c r="C9" t="str">
        <f xml:space="preserve"> ROUND((442/1280)*100,2)&amp;"vw"</f>
        <v>34.53vw</v>
      </c>
      <c r="D9" t="s">
        <v>11</v>
      </c>
    </row>
    <row r="10" spans="1:4" x14ac:dyDescent="0.25">
      <c r="A10" t="str">
        <f>ROUND((611/1280)*100,2)&amp;"vw"</f>
        <v>47.73vw</v>
      </c>
      <c r="B10" t="str">
        <f>ROUND((623/1080)*100, 2) &amp; "vh"</f>
        <v>57.69vh</v>
      </c>
      <c r="C10" t="str">
        <f xml:space="preserve"> ROUND((463/1280)*100,2)&amp;"vw"</f>
        <v>36.17vw</v>
      </c>
      <c r="D10" t="s">
        <v>12</v>
      </c>
    </row>
    <row r="11" spans="1:4" x14ac:dyDescent="0.25">
      <c r="A11" t="str">
        <f>ROUND((777/1280)*100,2)&amp;"vw"</f>
        <v>60.7vw</v>
      </c>
      <c r="B11" t="str">
        <f>ROUND((617/1080)*100, 2) &amp; "vh"</f>
        <v>57.13vh</v>
      </c>
      <c r="C11" t="str">
        <f xml:space="preserve"> ROUND((275/1280)*100,2)&amp;"vw"</f>
        <v>21.48vw</v>
      </c>
      <c r="D11" t="s">
        <v>13</v>
      </c>
    </row>
    <row r="12" spans="1:4" x14ac:dyDescent="0.25">
      <c r="A12" t="str">
        <f>ROUND((1001/1280)*100,2)&amp;"vw"</f>
        <v>78.2vw</v>
      </c>
      <c r="B12" t="str">
        <f>ROUND((565/1080)*100, 2) &amp; "vh"</f>
        <v>52.31vh</v>
      </c>
      <c r="C12" t="str">
        <f xml:space="preserve"> ROUND((184/1280)*100,2)&amp;"vw"</f>
        <v>14.38vw</v>
      </c>
      <c r="D12" t="s">
        <v>14</v>
      </c>
    </row>
    <row r="13" spans="1:4" x14ac:dyDescent="0.25">
      <c r="A13" t="str">
        <f>ROUND((131/1280)*100,2)&amp;"vw"</f>
        <v>10.23vw</v>
      </c>
      <c r="B13" t="str">
        <f>ROUND((140/1080)*100, 2) &amp; "vh"</f>
        <v>12.96vh</v>
      </c>
      <c r="C13" t="str">
        <f xml:space="preserve"> ROUND((506.61/1280)*100,2)&amp;"vw"</f>
        <v>39.58vw</v>
      </c>
      <c r="D13" t="s">
        <v>15</v>
      </c>
    </row>
    <row r="14" spans="1:4" x14ac:dyDescent="0.25">
      <c r="A14" t="str">
        <f>ROUND((38/1280)*100,2)&amp;"vw"</f>
        <v>2.97vw</v>
      </c>
      <c r="B14" t="str">
        <f>ROUND((404/1080)*100, 2) &amp; "vh"</f>
        <v>37.41vh</v>
      </c>
      <c r="C14" t="str">
        <f xml:space="preserve"> ROUND((73.39/1280)*100,2)&amp;"vw"</f>
        <v>5.73vw</v>
      </c>
      <c r="D14" t="s">
        <v>16</v>
      </c>
    </row>
    <row r="15" spans="1:4" x14ac:dyDescent="0.25">
      <c r="A15" t="str">
        <f>ROUND((932/1280)*100,2)&amp;"vw"</f>
        <v>72.81vw</v>
      </c>
      <c r="B15" t="str">
        <f>ROUND((406/1080)*100, 2) &amp; "vh"</f>
        <v>37.59vh</v>
      </c>
      <c r="C15" t="str">
        <f xml:space="preserve"> ROUND((103/1280)*100,2)&amp;"vw"</f>
        <v>8.05vw</v>
      </c>
      <c r="D15" t="s">
        <v>17</v>
      </c>
    </row>
    <row r="16" spans="1:4" x14ac:dyDescent="0.25">
      <c r="A16" t="str">
        <f>ROUND((668/1280)*100,2)&amp;"vw"</f>
        <v>52.19vw</v>
      </c>
      <c r="B16" t="str">
        <f>ROUND((450/1080)*100, 2) &amp; "vh"</f>
        <v>41.67vh</v>
      </c>
      <c r="C16" t="str">
        <f xml:space="preserve"> ROUND((53.83/1280)*100,2)&amp;"vw"</f>
        <v>4.21vw</v>
      </c>
      <c r="D16" t="s">
        <v>18</v>
      </c>
    </row>
    <row r="17" spans="1:4" x14ac:dyDescent="0.25">
      <c r="A17" t="str">
        <f>ROUND((912.5/1280)*100,2)&amp;"vw"</f>
        <v>71.29vw</v>
      </c>
      <c r="B17" t="str">
        <f>ROUND((607.5/1080)*100, 2) &amp; "vh"</f>
        <v>56.25vh</v>
      </c>
      <c r="C17" t="str">
        <f xml:space="preserve"> ROUND((133/1280)*100,2)&amp;"vw"</f>
        <v>10.39vw</v>
      </c>
      <c r="D17" t="s">
        <v>19</v>
      </c>
    </row>
    <row r="18" spans="1:4" x14ac:dyDescent="0.25">
      <c r="A18" t="str">
        <f>ROUND((498/1280)*100,2)&amp;"vw"</f>
        <v>38.91vw</v>
      </c>
      <c r="B18" t="str">
        <f>ROUND((739/1080)*100, 2) &amp; "vh"</f>
        <v>68.43vh</v>
      </c>
      <c r="C18" t="str">
        <f xml:space="preserve"> ROUND((602.03/1280)*100,2)&amp;"vw"</f>
        <v>47.03vw</v>
      </c>
      <c r="D18" t="s">
        <v>20</v>
      </c>
    </row>
    <row r="19" spans="1:4" x14ac:dyDescent="0.25">
      <c r="A19" t="str">
        <f>ROUND((491/1280)*100,2)&amp;"vw"</f>
        <v>38.36vw</v>
      </c>
      <c r="B19" t="str">
        <f>ROUND((741/1080)*100, 2) &amp; "vh"</f>
        <v>68.61vh</v>
      </c>
      <c r="C19" t="str">
        <f xml:space="preserve"> ROUND((303.71/1280)*100,2)&amp;"vw"</f>
        <v>23.73vw</v>
      </c>
      <c r="D19" t="s">
        <v>21</v>
      </c>
    </row>
    <row r="20" spans="1:4" x14ac:dyDescent="0.25">
      <c r="A20" t="str">
        <f>ROUND((409/1280)*100,2)&amp;"vw"</f>
        <v>31.95vw</v>
      </c>
      <c r="B20" t="str">
        <f>ROUND((690/1080)*100, 2) &amp; "vh"</f>
        <v>63.89vh</v>
      </c>
      <c r="C20" t="str">
        <f xml:space="preserve"> ROUND((126/1280)*100,2)&amp;"vw"</f>
        <v>9.84vw</v>
      </c>
      <c r="D20" t="s">
        <v>22</v>
      </c>
    </row>
    <row r="21" spans="1:4" x14ac:dyDescent="0.25">
      <c r="A21" t="str">
        <f>ROUND((0/1280)*100,2)&amp;"vw"</f>
        <v>0vw</v>
      </c>
      <c r="B21" t="str">
        <f>ROUND((879/1080)*100, 2) &amp; "vh"</f>
        <v>81.39vh</v>
      </c>
      <c r="C21" t="str">
        <f xml:space="preserve"> ROUND((294/1280)*100,2)&amp;"vw"</f>
        <v>22.97vw</v>
      </c>
      <c r="D21" t="s">
        <v>23</v>
      </c>
    </row>
    <row r="22" spans="1:4" x14ac:dyDescent="0.25">
      <c r="A22">
        <f t="shared" ref="A1:A36" ca="1" si="0">ROUND((A22/1280)*100,2)&amp;"vw"</f>
        <v>0</v>
      </c>
      <c r="B22">
        <f t="shared" ref="B2:B36" ca="1" si="1">ROUND((B22/1080)*100, 2) &amp; "vh"</f>
        <v>0</v>
      </c>
      <c r="C22">
        <f t="shared" ref="C2:C38" ca="1" si="2" xml:space="preserve"> ROUND((C22/1280)*100,2)&amp;"vw"</f>
        <v>0</v>
      </c>
    </row>
    <row r="23" spans="1:4" x14ac:dyDescent="0.25">
      <c r="A23">
        <f t="shared" ca="1" si="0"/>
        <v>0</v>
      </c>
      <c r="B23">
        <f t="shared" ca="1" si="1"/>
        <v>0</v>
      </c>
      <c r="C23">
        <f t="shared" ca="1" si="2"/>
        <v>0</v>
      </c>
    </row>
    <row r="24" spans="1:4" x14ac:dyDescent="0.25">
      <c r="A24">
        <f t="shared" ca="1" si="0"/>
        <v>0</v>
      </c>
      <c r="B24">
        <f t="shared" ca="1" si="1"/>
        <v>0</v>
      </c>
      <c r="C24">
        <f t="shared" ca="1" si="2"/>
        <v>0</v>
      </c>
    </row>
    <row r="25" spans="1:4" x14ac:dyDescent="0.25">
      <c r="A25">
        <f t="shared" ca="1" si="0"/>
        <v>0</v>
      </c>
      <c r="B25">
        <f t="shared" ca="1" si="1"/>
        <v>0</v>
      </c>
      <c r="C25">
        <f t="shared" ca="1" si="2"/>
        <v>0</v>
      </c>
    </row>
    <row r="26" spans="1:4" x14ac:dyDescent="0.25">
      <c r="A26">
        <f t="shared" ca="1" si="0"/>
        <v>0</v>
      </c>
      <c r="B26">
        <f t="shared" ca="1" si="1"/>
        <v>0</v>
      </c>
      <c r="C26">
        <f t="shared" ca="1" si="2"/>
        <v>0</v>
      </c>
    </row>
    <row r="27" spans="1:4" x14ac:dyDescent="0.25">
      <c r="A27">
        <f t="shared" ca="1" si="0"/>
        <v>0</v>
      </c>
      <c r="B27">
        <f t="shared" ca="1" si="1"/>
        <v>0</v>
      </c>
      <c r="C27">
        <f t="shared" ca="1" si="2"/>
        <v>0</v>
      </c>
    </row>
    <row r="28" spans="1:4" x14ac:dyDescent="0.25">
      <c r="A28">
        <f t="shared" ca="1" si="0"/>
        <v>0</v>
      </c>
      <c r="B28">
        <f t="shared" ca="1" si="1"/>
        <v>0</v>
      </c>
      <c r="C28">
        <f t="shared" ca="1" si="2"/>
        <v>0</v>
      </c>
    </row>
    <row r="29" spans="1:4" x14ac:dyDescent="0.25">
      <c r="A29">
        <f t="shared" ca="1" si="0"/>
        <v>0</v>
      </c>
      <c r="B29">
        <f t="shared" ca="1" si="1"/>
        <v>0</v>
      </c>
      <c r="C29">
        <f t="shared" ca="1" si="2"/>
        <v>0</v>
      </c>
    </row>
    <row r="30" spans="1:4" x14ac:dyDescent="0.25">
      <c r="A30">
        <f t="shared" ca="1" si="0"/>
        <v>0</v>
      </c>
      <c r="B30">
        <f t="shared" ca="1" si="1"/>
        <v>0</v>
      </c>
      <c r="C30">
        <f t="shared" ca="1" si="2"/>
        <v>0</v>
      </c>
    </row>
    <row r="31" spans="1:4" x14ac:dyDescent="0.25">
      <c r="A31">
        <f t="shared" ca="1" si="0"/>
        <v>0</v>
      </c>
      <c r="B31">
        <f t="shared" ca="1" si="1"/>
        <v>0</v>
      </c>
      <c r="C31">
        <f t="shared" ca="1" si="2"/>
        <v>0</v>
      </c>
    </row>
    <row r="32" spans="1:4" x14ac:dyDescent="0.25">
      <c r="A32">
        <f t="shared" ca="1" si="0"/>
        <v>0</v>
      </c>
      <c r="B32">
        <f t="shared" ca="1" si="1"/>
        <v>0</v>
      </c>
      <c r="C32">
        <f t="shared" ca="1" si="2"/>
        <v>0</v>
      </c>
    </row>
    <row r="33" spans="1:3" x14ac:dyDescent="0.25">
      <c r="A33">
        <f t="shared" ca="1" si="0"/>
        <v>0</v>
      </c>
      <c r="B33">
        <f t="shared" ca="1" si="1"/>
        <v>0</v>
      </c>
      <c r="C33">
        <f t="shared" ca="1" si="2"/>
        <v>0</v>
      </c>
    </row>
    <row r="34" spans="1:3" x14ac:dyDescent="0.25">
      <c r="A34">
        <f t="shared" ca="1" si="0"/>
        <v>0</v>
      </c>
      <c r="B34">
        <f t="shared" ca="1" si="1"/>
        <v>0</v>
      </c>
      <c r="C34">
        <f t="shared" ca="1" si="2"/>
        <v>0</v>
      </c>
    </row>
    <row r="35" spans="1:3" x14ac:dyDescent="0.25">
      <c r="A35">
        <f t="shared" ca="1" si="0"/>
        <v>0</v>
      </c>
      <c r="B35">
        <f t="shared" ca="1" si="1"/>
        <v>0</v>
      </c>
      <c r="C35">
        <f t="shared" ca="1" si="2"/>
        <v>0</v>
      </c>
    </row>
    <row r="36" spans="1:3" x14ac:dyDescent="0.25">
      <c r="A36">
        <f t="shared" ca="1" si="0"/>
        <v>0</v>
      </c>
      <c r="B36">
        <f t="shared" ca="1" si="1"/>
        <v>0</v>
      </c>
      <c r="C36">
        <f t="shared" ca="1" si="2"/>
        <v>0</v>
      </c>
    </row>
    <row r="37" spans="1:3" x14ac:dyDescent="0.25">
      <c r="C37">
        <f t="shared" ca="1" si="2"/>
        <v>0</v>
      </c>
    </row>
    <row r="38" spans="1:3" x14ac:dyDescent="0.25">
      <c r="C38">
        <f t="shared" ca="1" si="2"/>
        <v>0</v>
      </c>
    </row>
  </sheetData>
  <pageMargins left="0.7" right="0.7" top="0.75" bottom="0.75" header="0.3" footer="0.3"/>
  <pageSetup orientation="portrait" r:id="rId1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Gizzo, Renae</dc:creator>
  <cp:lastModifiedBy>Gizzo, Renae</cp:lastModifiedBy>
  <dcterms:created xsi:type="dcterms:W3CDTF">2026-05-30T19:48:44Z</dcterms:created>
  <dcterms:modified xsi:type="dcterms:W3CDTF">2026-05-30T21:51:15Z</dcterms:modified>
</cp:coreProperties>
</file>